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mipath\Downloads\"/>
    </mc:Choice>
  </mc:AlternateContent>
  <xr:revisionPtr revIDLastSave="0" documentId="13_ncr:1_{223CB3FF-DBAD-439D-819D-C62F12FC1E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edit Calculato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I13" i="1" s="1"/>
  <c r="F13" i="1"/>
  <c r="G13" i="1" s="1"/>
  <c r="H12" i="1"/>
  <c r="I12" i="1" s="1"/>
  <c r="F12" i="1"/>
  <c r="G12" i="1" s="1"/>
  <c r="H11" i="1"/>
  <c r="I11" i="1" s="1"/>
  <c r="F11" i="1"/>
  <c r="G11" i="1" s="1"/>
  <c r="H10" i="1"/>
  <c r="I10" i="1" s="1"/>
  <c r="F10" i="1"/>
  <c r="G10" i="1" s="1"/>
  <c r="H9" i="1"/>
  <c r="I9" i="1" s="1"/>
  <c r="F9" i="1"/>
  <c r="G9" i="1" s="1"/>
  <c r="H8" i="1"/>
  <c r="I8" i="1" s="1"/>
  <c r="F8" i="1"/>
  <c r="G8" i="1" s="1"/>
  <c r="H7" i="1"/>
  <c r="I7" i="1" s="1"/>
  <c r="F7" i="1"/>
  <c r="G7" i="1" s="1"/>
  <c r="H6" i="1"/>
  <c r="I6" i="1" s="1"/>
  <c r="F6" i="1"/>
  <c r="G6" i="1" s="1"/>
  <c r="H5" i="1"/>
  <c r="I5" i="1" s="1"/>
  <c r="F5" i="1"/>
  <c r="G5" i="1" s="1"/>
  <c r="H4" i="1"/>
  <c r="I4" i="1" s="1"/>
  <c r="F4" i="1"/>
  <c r="G4" i="1" s="1"/>
  <c r="H3" i="1"/>
  <c r="I3" i="1" s="1"/>
  <c r="F3" i="1"/>
  <c r="G3" i="1" s="1"/>
  <c r="H2" i="1"/>
  <c r="I2" i="1" s="1"/>
  <c r="F2" i="1"/>
  <c r="G2" i="1" s="1"/>
  <c r="I15" i="1" l="1"/>
  <c r="G15" i="1"/>
  <c r="F15" i="1"/>
  <c r="H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Pathak, Samir</author>
  </authors>
  <commentList>
    <comment ref="E2" authorId="0" shapeId="0" xr:uid="{45D905F6-170C-4C6A-92B6-58EAFCA67724}">
      <text>
        <r>
          <rPr>
            <sz val="9"/>
            <color indexed="81"/>
            <rFont val="Tahoma"/>
            <family val="2"/>
          </rPr>
          <t>Enter number of tokens in thousands, e.g. enter 1 for 1000 tokens consumed. Or enter # prompt run *  # Tokens in each run in thousands. ( e.g. for 100 prompt runs with 3000 tokens in each run, enter 100*3=300)</t>
        </r>
      </text>
    </comment>
    <comment ref="E3" authorId="0" shapeId="0" xr:uid="{5EBA0502-F2B8-448B-95C4-E5CEC72C4BB4}">
      <text>
        <r>
          <rPr>
            <sz val="9"/>
            <color indexed="81"/>
            <rFont val="Tahoma"/>
            <family val="2"/>
          </rPr>
          <t>Enter number of tokens in thousands, e.g. enter 1 for 1000 tokens consumed.</t>
        </r>
      </text>
    </comment>
    <comment ref="E4" authorId="0" shapeId="0" xr:uid="{FB2A59C7-14CF-4F35-992C-F2F20735BE11}">
      <text>
        <r>
          <rPr>
            <sz val="9"/>
            <color indexed="81"/>
            <rFont val="Tahoma"/>
            <family val="2"/>
          </rPr>
          <t>Enter number of tokens in thousands, e.g. enter 1 for 1000 tokens consumed.</t>
        </r>
      </text>
    </comment>
    <comment ref="E5" authorId="0" shapeId="0" xr:uid="{6AE6FFD7-6C5B-4DD1-944D-38D9881F35A6}">
      <text>
        <r>
          <rPr>
            <sz val="9"/>
            <color indexed="81"/>
            <rFont val="Tahoma"/>
            <family val="2"/>
          </rPr>
          <t>In case of multiple documents enter #of documents * # of pages per document</t>
        </r>
      </text>
    </comment>
    <comment ref="E6" authorId="0" shapeId="0" xr:uid="{415793AB-0DDD-4F05-B718-710EC83D87DC}">
      <text>
        <r>
          <rPr>
            <sz val="9"/>
            <color indexed="81"/>
            <rFont val="Tahoma"/>
            <charset val="1"/>
          </rPr>
          <t>Enter number of chars. in thousands, e.g. enter 1 for 1000 characters consumed.</t>
        </r>
      </text>
    </comment>
    <comment ref="E7" authorId="0" shapeId="0" xr:uid="{E00D6B92-53BD-4FB6-971C-91DC57CAB7FF}">
      <text>
        <r>
          <rPr>
            <sz val="9"/>
            <color indexed="81"/>
            <rFont val="Tahoma"/>
            <charset val="1"/>
          </rPr>
          <t>Enter number of chars. in thousands, e.g. enter 1 for 1000 characters consumed.</t>
        </r>
      </text>
    </comment>
    <comment ref="E8" authorId="0" shapeId="0" xr:uid="{DBF7BE4B-DB70-4CC1-95E7-95A28DA35477}">
      <text>
        <r>
          <rPr>
            <sz val="9"/>
            <color indexed="81"/>
            <rFont val="Tahoma"/>
            <charset val="1"/>
          </rPr>
          <t>Enter number of chars. in thousands, e.g. enter 1 for 1000 characters consumed.</t>
        </r>
      </text>
    </comment>
  </commentList>
</comments>
</file>

<file path=xl/sharedStrings.xml><?xml version="1.0" encoding="utf-8"?>
<sst xmlns="http://schemas.openxmlformats.org/spreadsheetml/2006/main" count="42" uniqueCount="36">
  <si>
    <t>AI Builder Capability</t>
  </si>
  <si>
    <t>Unit Type</t>
  </si>
  <si>
    <t>Copilot Credit Rate</t>
  </si>
  <si>
    <t>AI Builder Credit Rate</t>
  </si>
  <si>
    <t>Number of Units</t>
  </si>
  <si>
    <t>Copilot Credits Required</t>
  </si>
  <si>
    <t>AI Builder Credits Required</t>
  </si>
  <si>
    <t>AI Builder Cost ($)</t>
  </si>
  <si>
    <t>Prompt (basic LLM model)</t>
  </si>
  <si>
    <t>1k tokens</t>
  </si>
  <si>
    <t> Prompt (standard LLM model)</t>
  </si>
  <si>
    <t> 1k tokens  </t>
  </si>
  <si>
    <t> Prompt (premium LLM model) </t>
  </si>
  <si>
    <t> Custom document processing </t>
  </si>
  <si>
    <t> 1 page     </t>
  </si>
  <si>
    <t> Text translation                            </t>
  </si>
  <si>
    <t> 1k chars   </t>
  </si>
  <si>
    <t> Text recognition (OCR)                       </t>
  </si>
  <si>
    <t> Receipt, invoice, identity document analysis</t>
  </si>
  <si>
    <t> 1 image    </t>
  </si>
  <si>
    <t> Object detection             </t>
  </si>
  <si>
    <t> Business card reader, prediction             </t>
  </si>
  <si>
    <t> n/a        </t>
  </si>
  <si>
    <t>Total</t>
  </si>
  <si>
    <t>Copilot Credit Cost ($)</t>
  </si>
  <si>
    <t xml:space="preserve"> Advanced text analysis: category classification, 
entity extraction</t>
  </si>
  <si>
    <t xml:space="preserve"> Simple text analysis: sentiment analysis, 
language detection, key phrase extraction</t>
  </si>
  <si>
    <t>Contract processing, health insurance card 
processing, image description</t>
  </si>
  <si>
    <t>Assumptions:</t>
  </si>
  <si>
    <t>How to Use:</t>
  </si>
  <si>
    <t>Credit rates are based on AI Builder Capability Rate table</t>
  </si>
  <si>
    <t>Copilot per credit cost is $0.008, based on  Copilot Studio Capacity (prepaid pack)</t>
  </si>
  <si>
    <t>AI Builder per credit cost is $0.0005, based on AI Builder Capacity add-on costs around $500 per month for 1 million credits</t>
  </si>
  <si>
    <t>For AI Prompt calculation, token consumption is 7:3 (i.e. 700 input tokens and 300 output tokens per 1000 tokens consumed)</t>
  </si>
  <si>
    <t>Enter 0 unit for AI builder capability not required</t>
  </si>
  <si>
    <t>Select a AI builder capability and enter estimated number of units consumption for Project/ Organization. You may get this value from your existing AI builder credit consumption.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</si>
</sst>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wrapText="1"/>
    </xf>
    <xf numFmtId="0" fontId="0" fillId="2" borderId="0" xfId="0" applyFill="1"/>
    <xf numFmtId="0" fontId="3" fillId="3" borderId="0" xfId="0" applyFont="1" applyFill="1" applyProtection="1">
      <protection locked="0"/>
    </xf>
    <xf numFmtId="0" fontId="5" fillId="0" borderId="0" xfId="1"/>
    <xf numFmtId="0" fontId="1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2">
    <dxf>
      <numFmt numFmtId="164" formatCode="&quot;$&quot;#,##0.0000"/>
    </dxf>
    <dxf>
      <numFmt numFmtId="164" formatCode="&quot;$&quot;#,##0.0000"/>
    </dxf>
  </dxfs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Credits Comparison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Copilot Credits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'Credit Calculator'!$A$2:$A$14</c15:sqref>
                  </c15:fullRef>
                </c:ext>
              </c:extLst>
              <c:f>'Credit Calculator'!$A$2:$A$13</c:f>
              <c:strCache>
                <c:ptCount val="12"/>
                <c:pt idx="0">
                  <c:v>Prompt (basic LLM model)</c:v>
                </c:pt>
                <c:pt idx="1">
                  <c:v> Prompt (standard LLM model)</c:v>
                </c:pt>
                <c:pt idx="2">
                  <c:v> Prompt (premium LLM model) </c:v>
                </c:pt>
                <c:pt idx="3">
                  <c:v> Custom document processing </c:v>
                </c:pt>
                <c:pt idx="4">
                  <c:v> Text translation                            </c:v>
                </c:pt>
                <c:pt idx="5">
                  <c:v> Simple text analysis: sentiment analysis, 
language detection, key phrase extraction</c:v>
                </c:pt>
                <c:pt idx="6">
                  <c:v> Advanced text analysis: category classification, 
entity extraction</c:v>
                </c:pt>
                <c:pt idx="7">
                  <c:v> Text recognition (OCR)                       </c:v>
                </c:pt>
                <c:pt idx="8">
                  <c:v> Receipt, invoice, identity document analysis</c:v>
                </c:pt>
                <c:pt idx="9">
                  <c:v>Contract processing, health insurance card 
processing, image description</c:v>
                </c:pt>
                <c:pt idx="10">
                  <c:v> Object detection             </c:v>
                </c:pt>
                <c:pt idx="11">
                  <c:v> Business card reader, prediction            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'Credit Calculator'!$F$2:$F$14</c15:sqref>
                  </c15:fullRef>
                </c:ext>
              </c:extLst>
              <c:f>'Credit Calculator'!$F$2:$F$13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F-4BA6-AFBF-709930218FE1}"/>
            </c:ext>
          </c:extLst>
        </c:ser>
        <c:ser>
          <c:idx val="1"/>
          <c:order val="1"/>
          <c:tx>
            <c:v>AI Builder Credits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'Credit Calculator'!$A$2:$A$14</c15:sqref>
                  </c15:fullRef>
                </c:ext>
              </c:extLst>
              <c:f>'Credit Calculator'!$A$2:$A$13</c:f>
              <c:strCache>
                <c:ptCount val="12"/>
                <c:pt idx="0">
                  <c:v>Prompt (basic LLM model)</c:v>
                </c:pt>
                <c:pt idx="1">
                  <c:v> Prompt (standard LLM model)</c:v>
                </c:pt>
                <c:pt idx="2">
                  <c:v> Prompt (premium LLM model) </c:v>
                </c:pt>
                <c:pt idx="3">
                  <c:v> Custom document processing </c:v>
                </c:pt>
                <c:pt idx="4">
                  <c:v> Text translation                            </c:v>
                </c:pt>
                <c:pt idx="5">
                  <c:v> Simple text analysis: sentiment analysis, 
language detection, key phrase extraction</c:v>
                </c:pt>
                <c:pt idx="6">
                  <c:v> Advanced text analysis: category classification, 
entity extraction</c:v>
                </c:pt>
                <c:pt idx="7">
                  <c:v> Text recognition (OCR)                       </c:v>
                </c:pt>
                <c:pt idx="8">
                  <c:v> Receipt, invoice, identity document analysis</c:v>
                </c:pt>
                <c:pt idx="9">
                  <c:v>Contract processing, health insurance card 
processing, image description</c:v>
                </c:pt>
                <c:pt idx="10">
                  <c:v> Object detection             </c:v>
                </c:pt>
                <c:pt idx="11">
                  <c:v> Business card reader, prediction            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'Credit Calculator'!$H$2:$H$14</c15:sqref>
                  </c15:fullRef>
                </c:ext>
              </c:extLst>
              <c:f>'Credit Calculator'!$H$2:$H$13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F-4BA6-AFBF-709930218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Capability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Copilot Cost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'Credit Calculator'!$A$2:$A$14</c15:sqref>
                  </c15:fullRef>
                </c:ext>
              </c:extLst>
              <c:f>'Credit Calculator'!$A$2:$A$13</c:f>
              <c:strCache>
                <c:ptCount val="12"/>
                <c:pt idx="0">
                  <c:v>Prompt (basic LLM model)</c:v>
                </c:pt>
                <c:pt idx="1">
                  <c:v> Prompt (standard LLM model)</c:v>
                </c:pt>
                <c:pt idx="2">
                  <c:v> Prompt (premium LLM model) </c:v>
                </c:pt>
                <c:pt idx="3">
                  <c:v> Custom document processing </c:v>
                </c:pt>
                <c:pt idx="4">
                  <c:v> Text translation                            </c:v>
                </c:pt>
                <c:pt idx="5">
                  <c:v> Simple text analysis: sentiment analysis, 
language detection, key phrase extraction</c:v>
                </c:pt>
                <c:pt idx="6">
                  <c:v> Advanced text analysis: category classification, 
entity extraction</c:v>
                </c:pt>
                <c:pt idx="7">
                  <c:v> Text recognition (OCR)                       </c:v>
                </c:pt>
                <c:pt idx="8">
                  <c:v> Receipt, invoice, identity document analysis</c:v>
                </c:pt>
                <c:pt idx="9">
                  <c:v>Contract processing, health insurance card 
processing, image description</c:v>
                </c:pt>
                <c:pt idx="10">
                  <c:v> Object detection             </c:v>
                </c:pt>
                <c:pt idx="11">
                  <c:v> Business card reader, prediction            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'Credit Calculator'!$G$2:$G$14</c15:sqref>
                  </c15:fullRef>
                </c:ext>
              </c:extLst>
              <c:f>'Credit Calculator'!$G$2:$G$13</c:f>
              <c:numCache>
                <c:formatCode>"$"#,##0.0000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D-4BF9-94CD-3E29BA4D565C}"/>
            </c:ext>
          </c:extLst>
        </c:ser>
        <c:ser>
          <c:idx val="1"/>
          <c:order val="1"/>
          <c:tx>
            <c:v>AI Builder Cost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'Credit Calculator'!$A$2:$A$14</c15:sqref>
                  </c15:fullRef>
                </c:ext>
              </c:extLst>
              <c:f>'Credit Calculator'!$A$2:$A$13</c:f>
              <c:strCache>
                <c:ptCount val="12"/>
                <c:pt idx="0">
                  <c:v>Prompt (basic LLM model)</c:v>
                </c:pt>
                <c:pt idx="1">
                  <c:v> Prompt (standard LLM model)</c:v>
                </c:pt>
                <c:pt idx="2">
                  <c:v> Prompt (premium LLM model) </c:v>
                </c:pt>
                <c:pt idx="3">
                  <c:v> Custom document processing </c:v>
                </c:pt>
                <c:pt idx="4">
                  <c:v> Text translation                            </c:v>
                </c:pt>
                <c:pt idx="5">
                  <c:v> Simple text analysis: sentiment analysis, 
language detection, key phrase extraction</c:v>
                </c:pt>
                <c:pt idx="6">
                  <c:v> Advanced text analysis: category classification, 
entity extraction</c:v>
                </c:pt>
                <c:pt idx="7">
                  <c:v> Text recognition (OCR)                       </c:v>
                </c:pt>
                <c:pt idx="8">
                  <c:v> Receipt, invoice, identity document analysis</c:v>
                </c:pt>
                <c:pt idx="9">
                  <c:v>Contract processing, health insurance card 
processing, image description</c:v>
                </c:pt>
                <c:pt idx="10">
                  <c:v> Object detection             </c:v>
                </c:pt>
                <c:pt idx="11">
                  <c:v> Business card reader, prediction            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'Credit Calculator'!$I$2:$I$14</c15:sqref>
                  </c15:fullRef>
                </c:ext>
              </c:extLst>
              <c:f>'Credit Calculator'!$I$2:$I$13</c:f>
              <c:numCache>
                <c:formatCode>"$"#,##0.0000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D-4BF9-94CD-3E29BA4D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316941</xdr:colOff>
      <xdr:row>2</xdr:row>
      <xdr:rowOff>22412</xdr:rowOff>
    </xdr:from>
    <xdr:ext cx="9659470" cy="487891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1805</xdr:colOff>
      <xdr:row>2</xdr:row>
      <xdr:rowOff>22849</xdr:rowOff>
    </xdr:from>
    <xdr:ext cx="10064751" cy="484293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ditCalculator" displayName="CreditCalculator" ref="A1:I15">
  <autoFilter ref="A1:I15" xr:uid="{00000000-0009-0000-0100-000001000000}"/>
  <tableColumns count="9">
    <tableColumn id="1" xr3:uid="{00000000-0010-0000-0000-000001000000}" name="AI Builder Capability"/>
    <tableColumn id="2" xr3:uid="{00000000-0010-0000-0000-000002000000}" name="Unit Type"/>
    <tableColumn id="3" xr3:uid="{00000000-0010-0000-0000-000003000000}" name="Copilot Credit Rate"/>
    <tableColumn id="4" xr3:uid="{00000000-0010-0000-0000-000004000000}" name="AI Builder Credit Rate"/>
    <tableColumn id="5" xr3:uid="{00000000-0010-0000-0000-000005000000}" name="Number of Units"/>
    <tableColumn id="6" xr3:uid="{00000000-0010-0000-0000-000006000000}" name="Copilot Credits Required"/>
    <tableColumn id="7" xr3:uid="{00000000-0010-0000-0000-000007000000}" name="Copilot Credit Cost ($)" dataDxfId="1"/>
    <tableColumn id="8" xr3:uid="{00000000-0010-0000-0000-000008000000}" name="AI Builder Credits Required"/>
    <tableColumn id="9" xr3:uid="{00000000-0010-0000-0000-000009000000}" name="AI Builder Cost ($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ai-builder/administer-licensing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zoomScaleNormal="100" workbookViewId="0">
      <selection activeCell="E11" sqref="E11"/>
    </sheetView>
  </sheetViews>
  <sheetFormatPr defaultRowHeight="14.5" x14ac:dyDescent="0.35"/>
  <cols>
    <col min="1" max="1" width="40.81640625" customWidth="1"/>
    <col min="2" max="2" width="14" customWidth="1"/>
    <col min="3" max="3" width="19.7265625" customWidth="1"/>
    <col min="4" max="4" width="21.453125" customWidth="1"/>
    <col min="5" max="5" width="17" customWidth="1"/>
    <col min="6" max="6" width="22" customWidth="1"/>
    <col min="7" max="7" width="22.54296875" style="1" customWidth="1"/>
    <col min="8" max="8" width="17.6328125" customWidth="1"/>
    <col min="9" max="9" width="21.54296875" style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s="1" t="s">
        <v>24</v>
      </c>
      <c r="H1" t="s">
        <v>6</v>
      </c>
      <c r="I1" s="1" t="s">
        <v>7</v>
      </c>
    </row>
    <row r="2" spans="1:9" x14ac:dyDescent="0.35">
      <c r="A2" t="s">
        <v>8</v>
      </c>
      <c r="B2" t="s">
        <v>9</v>
      </c>
      <c r="C2">
        <v>0.1</v>
      </c>
      <c r="D2">
        <v>1.6</v>
      </c>
      <c r="E2" s="5">
        <v>0</v>
      </c>
      <c r="F2">
        <f t="shared" ref="F2:F13" si="0">C2*E2</f>
        <v>0</v>
      </c>
      <c r="G2" s="1">
        <f t="shared" ref="G2:G13" si="1">F2*0.008</f>
        <v>0</v>
      </c>
      <c r="H2">
        <f t="shared" ref="H2:H13" si="2">D2*E2</f>
        <v>0</v>
      </c>
      <c r="I2" s="1">
        <f t="shared" ref="I2:I13" si="3">H2*0.0005</f>
        <v>0</v>
      </c>
    </row>
    <row r="3" spans="1:9" x14ac:dyDescent="0.35">
      <c r="A3" t="s">
        <v>10</v>
      </c>
      <c r="B3" t="s">
        <v>11</v>
      </c>
      <c r="C3">
        <v>1.5</v>
      </c>
      <c r="D3">
        <v>32</v>
      </c>
      <c r="E3" s="5">
        <v>0</v>
      </c>
      <c r="F3">
        <f t="shared" si="0"/>
        <v>0</v>
      </c>
      <c r="G3" s="1">
        <f t="shared" si="1"/>
        <v>0</v>
      </c>
      <c r="H3">
        <f t="shared" si="2"/>
        <v>0</v>
      </c>
      <c r="I3" s="1">
        <f t="shared" si="3"/>
        <v>0</v>
      </c>
    </row>
    <row r="4" spans="1:9" x14ac:dyDescent="0.35">
      <c r="A4" t="s">
        <v>12</v>
      </c>
      <c r="B4" t="s">
        <v>11</v>
      </c>
      <c r="C4">
        <v>10</v>
      </c>
      <c r="D4">
        <v>266</v>
      </c>
      <c r="E4" s="5">
        <v>0</v>
      </c>
      <c r="F4">
        <f t="shared" si="0"/>
        <v>0</v>
      </c>
      <c r="G4" s="1">
        <f t="shared" si="1"/>
        <v>0</v>
      </c>
      <c r="H4">
        <f t="shared" si="2"/>
        <v>0</v>
      </c>
      <c r="I4" s="1">
        <f t="shared" si="3"/>
        <v>0</v>
      </c>
    </row>
    <row r="5" spans="1:9" x14ac:dyDescent="0.35">
      <c r="A5" t="s">
        <v>13</v>
      </c>
      <c r="B5" t="s">
        <v>14</v>
      </c>
      <c r="C5">
        <v>8</v>
      </c>
      <c r="D5">
        <v>100</v>
      </c>
      <c r="E5" s="5">
        <v>0</v>
      </c>
      <c r="F5">
        <f t="shared" si="0"/>
        <v>0</v>
      </c>
      <c r="G5" s="1">
        <f t="shared" si="1"/>
        <v>0</v>
      </c>
      <c r="H5">
        <f t="shared" si="2"/>
        <v>0</v>
      </c>
      <c r="I5" s="1">
        <f t="shared" si="3"/>
        <v>0</v>
      </c>
    </row>
    <row r="6" spans="1:9" x14ac:dyDescent="0.35">
      <c r="A6" t="s">
        <v>15</v>
      </c>
      <c r="B6" t="s">
        <v>16</v>
      </c>
      <c r="C6">
        <v>1.5</v>
      </c>
      <c r="D6">
        <v>22</v>
      </c>
      <c r="E6" s="5">
        <v>0</v>
      </c>
      <c r="F6">
        <f t="shared" si="0"/>
        <v>0</v>
      </c>
      <c r="G6" s="1">
        <f t="shared" si="1"/>
        <v>0</v>
      </c>
      <c r="H6">
        <f t="shared" si="2"/>
        <v>0</v>
      </c>
      <c r="I6" s="1">
        <f t="shared" si="3"/>
        <v>0</v>
      </c>
    </row>
    <row r="7" spans="1:9" ht="29" x14ac:dyDescent="0.35">
      <c r="A7" s="3" t="s">
        <v>26</v>
      </c>
      <c r="B7" t="s">
        <v>16</v>
      </c>
      <c r="C7">
        <v>0.1</v>
      </c>
      <c r="D7">
        <v>2</v>
      </c>
      <c r="E7" s="5">
        <v>0</v>
      </c>
      <c r="F7">
        <f t="shared" si="0"/>
        <v>0</v>
      </c>
      <c r="G7" s="1">
        <f t="shared" si="1"/>
        <v>0</v>
      </c>
      <c r="H7">
        <f t="shared" si="2"/>
        <v>0</v>
      </c>
      <c r="I7" s="1">
        <f t="shared" si="3"/>
        <v>0</v>
      </c>
    </row>
    <row r="8" spans="1:9" ht="29" x14ac:dyDescent="0.35">
      <c r="A8" s="3" t="s">
        <v>25</v>
      </c>
      <c r="B8" t="s">
        <v>16</v>
      </c>
      <c r="C8">
        <v>1.5</v>
      </c>
      <c r="D8">
        <v>20</v>
      </c>
      <c r="E8" s="5">
        <v>0</v>
      </c>
      <c r="F8">
        <f t="shared" si="0"/>
        <v>0</v>
      </c>
      <c r="G8" s="1">
        <f t="shared" si="1"/>
        <v>0</v>
      </c>
      <c r="H8">
        <f t="shared" si="2"/>
        <v>0</v>
      </c>
      <c r="I8" s="1">
        <f t="shared" si="3"/>
        <v>0</v>
      </c>
    </row>
    <row r="9" spans="1:9" x14ac:dyDescent="0.35">
      <c r="A9" t="s">
        <v>17</v>
      </c>
      <c r="B9" t="s">
        <v>14</v>
      </c>
      <c r="C9">
        <v>0.1</v>
      </c>
      <c r="D9">
        <v>3</v>
      </c>
      <c r="E9" s="5">
        <v>0</v>
      </c>
      <c r="F9">
        <f t="shared" si="0"/>
        <v>0</v>
      </c>
      <c r="G9" s="1">
        <f t="shared" si="1"/>
        <v>0</v>
      </c>
      <c r="H9">
        <f t="shared" si="2"/>
        <v>0</v>
      </c>
      <c r="I9" s="1">
        <f t="shared" si="3"/>
        <v>0</v>
      </c>
    </row>
    <row r="10" spans="1:9" x14ac:dyDescent="0.35">
      <c r="A10" t="s">
        <v>18</v>
      </c>
      <c r="B10" t="s">
        <v>14</v>
      </c>
      <c r="C10">
        <v>8</v>
      </c>
      <c r="D10">
        <v>32</v>
      </c>
      <c r="E10" s="5">
        <v>0</v>
      </c>
      <c r="F10">
        <f t="shared" si="0"/>
        <v>0</v>
      </c>
      <c r="G10" s="1">
        <f t="shared" si="1"/>
        <v>0</v>
      </c>
      <c r="H10">
        <f t="shared" si="2"/>
        <v>0</v>
      </c>
      <c r="I10" s="1">
        <f t="shared" si="3"/>
        <v>0</v>
      </c>
    </row>
    <row r="11" spans="1:9" ht="29" x14ac:dyDescent="0.35">
      <c r="A11" s="3" t="s">
        <v>27</v>
      </c>
      <c r="B11" t="s">
        <v>19</v>
      </c>
      <c r="C11">
        <v>8</v>
      </c>
      <c r="D11">
        <v>32</v>
      </c>
      <c r="E11" s="5">
        <v>0</v>
      </c>
      <c r="F11">
        <f t="shared" si="0"/>
        <v>0</v>
      </c>
      <c r="G11" s="1">
        <f t="shared" si="1"/>
        <v>0</v>
      </c>
      <c r="H11">
        <f t="shared" si="2"/>
        <v>0</v>
      </c>
      <c r="I11" s="1">
        <f t="shared" si="3"/>
        <v>0</v>
      </c>
    </row>
    <row r="12" spans="1:9" x14ac:dyDescent="0.35">
      <c r="A12" t="s">
        <v>20</v>
      </c>
      <c r="B12" t="s">
        <v>19</v>
      </c>
      <c r="C12">
        <v>8</v>
      </c>
      <c r="D12">
        <v>8</v>
      </c>
      <c r="E12" s="5">
        <v>0</v>
      </c>
      <c r="F12">
        <f t="shared" si="0"/>
        <v>0</v>
      </c>
      <c r="G12" s="1">
        <f t="shared" si="1"/>
        <v>0</v>
      </c>
      <c r="H12">
        <f t="shared" si="2"/>
        <v>0</v>
      </c>
      <c r="I12" s="1">
        <f t="shared" si="3"/>
        <v>0</v>
      </c>
    </row>
    <row r="13" spans="1:9" x14ac:dyDescent="0.35">
      <c r="A13" t="s">
        <v>21</v>
      </c>
      <c r="B13" t="s">
        <v>22</v>
      </c>
      <c r="C13">
        <v>0</v>
      </c>
      <c r="D13">
        <v>0</v>
      </c>
      <c r="E13" s="5">
        <v>0</v>
      </c>
      <c r="F13">
        <f t="shared" si="0"/>
        <v>0</v>
      </c>
      <c r="G13" s="1">
        <f t="shared" si="1"/>
        <v>0</v>
      </c>
      <c r="H13">
        <f t="shared" si="2"/>
        <v>0</v>
      </c>
      <c r="I13" s="1">
        <f t="shared" si="3"/>
        <v>0</v>
      </c>
    </row>
    <row r="15" spans="1:9" x14ac:dyDescent="0.35">
      <c r="E15" t="s">
        <v>23</v>
      </c>
      <c r="F15">
        <f>SUM(F2:F13)</f>
        <v>0</v>
      </c>
      <c r="G15" s="2">
        <f>SUM(G2:G13)</f>
        <v>0</v>
      </c>
      <c r="H15">
        <f>SUM(H2:H13)</f>
        <v>0</v>
      </c>
      <c r="I15" s="2">
        <f>SUM(I2:I13)</f>
        <v>0</v>
      </c>
    </row>
    <row r="16" spans="1:9" x14ac:dyDescent="0.35">
      <c r="E16" s="1"/>
      <c r="G16" s="2"/>
    </row>
    <row r="17" spans="1:8" x14ac:dyDescent="0.35">
      <c r="A17" s="7" t="s">
        <v>28</v>
      </c>
    </row>
    <row r="18" spans="1:8" x14ac:dyDescent="0.35">
      <c r="A18" s="8" t="s">
        <v>33</v>
      </c>
      <c r="B18" s="8"/>
      <c r="C18" s="8"/>
      <c r="D18" s="8"/>
      <c r="E18" s="8"/>
      <c r="F18" s="8"/>
      <c r="G18" s="8"/>
      <c r="H18" s="8"/>
    </row>
    <row r="19" spans="1:8" x14ac:dyDescent="0.35">
      <c r="A19" s="8" t="s">
        <v>31</v>
      </c>
      <c r="B19" s="8"/>
      <c r="C19" s="8"/>
      <c r="D19" s="8"/>
      <c r="E19" s="8"/>
      <c r="F19" s="8"/>
    </row>
    <row r="20" spans="1:8" x14ac:dyDescent="0.35">
      <c r="A20" s="8" t="s">
        <v>32</v>
      </c>
      <c r="B20" s="8"/>
      <c r="C20" s="8"/>
      <c r="D20" s="8"/>
      <c r="E20" s="8"/>
      <c r="F20" s="8"/>
    </row>
    <row r="21" spans="1:8" x14ac:dyDescent="0.35">
      <c r="A21" s="6" t="s">
        <v>30</v>
      </c>
    </row>
    <row r="23" spans="1:8" x14ac:dyDescent="0.35">
      <c r="A23" s="7" t="s">
        <v>29</v>
      </c>
    </row>
    <row r="24" spans="1:8" x14ac:dyDescent="0.35">
      <c r="A24" t="s">
        <v>35</v>
      </c>
    </row>
    <row r="25" spans="1:8" x14ac:dyDescent="0.35">
      <c r="A25" t="s">
        <v>34</v>
      </c>
    </row>
  </sheetData>
  <sheetProtection sheet="1" formatCells="0" formatColumns="0"/>
  <mergeCells count="3">
    <mergeCell ref="A18:H18"/>
    <mergeCell ref="A19:F19"/>
    <mergeCell ref="A20:F20"/>
  </mergeCells>
  <hyperlinks>
    <hyperlink ref="A21" r:id="rId1" location="aibuildercapabilityrate-table" display="Credit rate is based on AI Builder Capability Rate table" xr:uid="{2F1E19D2-0A2A-4F1C-A5BB-C8D281307EF9}"/>
  </hyperlinks>
  <pageMargins left="0.75" right="0.75" top="1" bottom="1" header="0.5" footer="0.5"/>
  <pageSetup orientation="portrait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zoomScale="85" zoomScaleNormal="85" workbookViewId="0">
      <selection activeCell="P34" sqref="P34"/>
    </sheetView>
  </sheetViews>
  <sheetFormatPr defaultRowHeight="14.5" x14ac:dyDescent="0.35"/>
  <sheetData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Calculator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Pathak, Samir</cp:lastModifiedBy>
  <dcterms:created xsi:type="dcterms:W3CDTF">2025-11-16T17:37:13Z</dcterms:created>
  <dcterms:modified xsi:type="dcterms:W3CDTF">2025-11-17T00:09:50Z</dcterms:modified>
</cp:coreProperties>
</file>